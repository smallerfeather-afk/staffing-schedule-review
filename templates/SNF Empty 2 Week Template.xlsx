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\OneDrive\Desktop\"/>
    </mc:Choice>
  </mc:AlternateContent>
  <xr:revisionPtr revIDLastSave="0" documentId="8_{3BF55B2E-7A07-4F05-B384-84F78AA0E645}" xr6:coauthVersionLast="47" xr6:coauthVersionMax="47" xr10:uidLastSave="{00000000-0000-0000-0000-000000000000}"/>
  <bookViews>
    <workbookView xWindow="2970" yWindow="2100" windowWidth="57600" windowHeight="15645" xr2:uid="{0E079A21-DFCA-43FD-85BE-6C324BB2B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2" i="1" l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<sst xmlns="http://schemas.openxmlformats.org/spreadsheetml/2006/main" count="54" uniqueCount="10">
  <si>
    <t>CNA Schedule</t>
  </si>
  <si>
    <t>Hall</t>
  </si>
  <si>
    <t xml:space="preserve">James        </t>
  </si>
  <si>
    <t xml:space="preserve">James/Johns       </t>
  </si>
  <si>
    <t xml:space="preserve">Johns        </t>
  </si>
  <si>
    <t xml:space="preserve">Folly        </t>
  </si>
  <si>
    <t xml:space="preserve">Folly/Morris </t>
  </si>
  <si>
    <t xml:space="preserve">Morris </t>
  </si>
  <si>
    <t>Nurses Schedule</t>
  </si>
  <si>
    <t>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</si>
</sst>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\ h:mm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0"/>
      <name val="Abadi"/>
      <family val="2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strike/>
      <sz val="16"/>
      <color rgb="FFFFFF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3" xfId="0" applyFont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0" fontId="3" fillId="4" borderId="3" xfId="0" applyFont="1" applyFill="1" applyBorder="1"/>
    <xf numFmtId="0" fontId="5" fillId="0" borderId="3" xfId="0" applyFont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4" fillId="5" borderId="12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3" fillId="4" borderId="16" xfId="0" applyFont="1" applyFill="1" applyBorder="1"/>
    <xf numFmtId="164" fontId="7" fillId="4" borderId="5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6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6" borderId="17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CD61-8AD7-48FA-9D90-032F6032AAF4}">
  <dimension ref="A1:O27"/>
  <sheetViews>
    <sheetView tabSelected="1" zoomScale="60" zoomScaleNormal="60" workbookViewId="0">
      <selection activeCell="A2" sqref="A2"/>
    </sheetView>
  </sheetViews>
  <sheetFormatPr defaultRowHeight="15" x14ac:dyDescent="0.25"/>
  <cols>
    <col min="1" max="1" width="21.85546875" bestFit="1" customWidth="1"/>
    <col min="2" max="3" width="26.85546875" bestFit="1" customWidth="1"/>
    <col min="4" max="5" width="31.5703125" bestFit="1" customWidth="1"/>
    <col min="6" max="7" width="27.7109375" bestFit="1" customWidth="1"/>
    <col min="8" max="9" width="23.42578125" bestFit="1" customWidth="1"/>
    <col min="10" max="11" width="27.28515625" bestFit="1" customWidth="1"/>
    <col min="12" max="13" width="25.42578125" bestFit="1" customWidth="1"/>
    <col min="14" max="15" width="26.28515625" bestFit="1" customWidth="1"/>
  </cols>
  <sheetData>
    <row r="1" spans="1:15" ht="33.75" x14ac:dyDescent="0.25">
      <c r="A1" s="1"/>
      <c r="B1" s="26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21" x14ac:dyDescent="0.35">
      <c r="A2" s="2" t="s">
        <v>1</v>
      </c>
      <c r="B2" s="3" t="str">
        <f ca="1">TEXT(TODAY()+1,"dddd, m/d "" - AM""")</f>
        <v>Saturday, 8/1  - AM</v>
      </c>
      <c r="C2" s="4" t="str">
        <f ca="1">TEXT(TODAY()+1,"dddd, m/d "" - PM""")</f>
        <v>Saturday, 8/1  - PM</v>
      </c>
      <c r="D2" s="3" t="str">
        <f ca="1">TEXT(TODAY()+2,"dddd, m/d "" - AM""")</f>
        <v>Sunday, 8/2  - AM</v>
      </c>
      <c r="E2" s="4" t="str">
        <f ca="1">TEXT(TODAY()+2,"dddd, m/d "" - PM""")</f>
        <v>Sunday, 8/2  - PM</v>
      </c>
      <c r="F2" s="3" t="str">
        <f ca="1">TEXT(TODAY()+3,"dddd, m/d "" - AM""")</f>
        <v>Monday, 8/3  - AM</v>
      </c>
      <c r="G2" s="4" t="str">
        <f ca="1">TEXT(TODAY()+3,"dddd, m/d "" - PM""")</f>
        <v>Monday, 8/3  - PM</v>
      </c>
      <c r="H2" s="3" t="str">
        <f ca="1">TEXT(TODAY()+4,"dddd, m/d "" - AM""")</f>
        <v>Tuesday, 8/4  - AM</v>
      </c>
      <c r="I2" s="5" t="str">
        <f ca="1">TEXT(TODAY()+4,"dddd, m/d "" - PM""")</f>
        <v>Tuesday, 8/4  - PM</v>
      </c>
      <c r="J2" s="3" t="str">
        <f ca="1">TEXT(TODAY()+5,"dddd, m/d "" - AM""")</f>
        <v>Wednesday, 8/5  - AM</v>
      </c>
      <c r="K2" s="5" t="str">
        <f ca="1">TEXT(TODAY()+5,"dddd, m/d "" - PM""")</f>
        <v>Wednesday, 8/5  - PM</v>
      </c>
      <c r="L2" s="17" t="str">
        <f ca="1">TEXT(TODAY()+6,"dddd, m/d "" - AM""")</f>
        <v>Thursday, 8/6  - AM</v>
      </c>
      <c r="M2" s="5" t="str">
        <f ca="1">TEXT(TODAY()+6,"dddd, m/d "" - PM""")</f>
        <v>Thursday, 8/6  - PM</v>
      </c>
      <c r="N2" s="3" t="str">
        <f ca="1">TEXT(TODAY()+7,"dddd, m/d "" - AM""")</f>
        <v>Friday, 8/7  - AM</v>
      </c>
      <c r="O2" s="4" t="str">
        <f ca="1">TEXT(TODAY()+7,"dddd, m/d "" - PM""")</f>
        <v>Friday, 8/7  - PM</v>
      </c>
    </row>
    <row r="3" spans="1:15" ht="21" x14ac:dyDescent="0.35">
      <c r="A3" s="6" t="s">
        <v>2</v>
      </c>
      <c r="B3" s="7"/>
      <c r="C3" s="8"/>
      <c r="D3" s="7"/>
      <c r="E3" s="8"/>
      <c r="F3" s="7"/>
      <c r="G3" s="8"/>
      <c r="H3" s="7"/>
      <c r="I3" s="8"/>
      <c r="J3" s="7"/>
      <c r="K3" s="8"/>
      <c r="L3" s="7"/>
      <c r="M3" s="8"/>
      <c r="N3" s="7"/>
      <c r="O3" s="9"/>
    </row>
    <row r="4" spans="1:15" ht="21" x14ac:dyDescent="0.35">
      <c r="A4" s="6" t="s">
        <v>3</v>
      </c>
      <c r="B4" s="7"/>
      <c r="C4" s="23" t="s">
        <v>9</v>
      </c>
      <c r="D4" s="7"/>
      <c r="E4" s="23" t="s">
        <v>9</v>
      </c>
      <c r="F4" s="7"/>
      <c r="G4" s="23" t="s">
        <v>9</v>
      </c>
      <c r="H4" s="7"/>
      <c r="I4" s="23" t="s">
        <v>9</v>
      </c>
      <c r="J4" s="7"/>
      <c r="K4" s="23" t="s">
        <v>9</v>
      </c>
      <c r="L4" s="7"/>
      <c r="M4" s="23" t="s">
        <v>9</v>
      </c>
      <c r="N4" s="7"/>
      <c r="O4" s="23" t="s">
        <v>9</v>
      </c>
    </row>
    <row r="5" spans="1:15" ht="21" x14ac:dyDescent="0.35">
      <c r="A5" s="6" t="s">
        <v>4</v>
      </c>
      <c r="B5" s="7"/>
      <c r="C5" s="8"/>
      <c r="D5" s="7"/>
      <c r="E5" s="8"/>
      <c r="F5" s="7"/>
      <c r="G5" s="9"/>
      <c r="H5" s="7"/>
      <c r="I5" s="8"/>
      <c r="J5" s="7"/>
      <c r="K5" s="8"/>
      <c r="L5" s="7"/>
      <c r="M5" s="8"/>
      <c r="N5" s="7"/>
      <c r="O5" s="9"/>
    </row>
    <row r="6" spans="1:15" ht="21" x14ac:dyDescent="0.35">
      <c r="A6" s="6" t="s">
        <v>5</v>
      </c>
      <c r="B6" s="7"/>
      <c r="C6" s="10"/>
      <c r="D6" s="7"/>
      <c r="E6" s="10"/>
      <c r="F6" s="7"/>
      <c r="G6" s="9"/>
      <c r="H6" s="7"/>
      <c r="I6" s="9"/>
      <c r="J6" s="7"/>
      <c r="K6" s="9"/>
      <c r="L6" s="7"/>
      <c r="M6" s="9"/>
      <c r="N6" s="7"/>
      <c r="O6" s="10"/>
    </row>
    <row r="7" spans="1:15" ht="21" x14ac:dyDescent="0.35">
      <c r="A7" s="6" t="s">
        <v>6</v>
      </c>
      <c r="B7" s="7"/>
      <c r="C7" s="23" t="s">
        <v>9</v>
      </c>
      <c r="D7" s="7"/>
      <c r="E7" s="23" t="s">
        <v>9</v>
      </c>
      <c r="F7" s="7"/>
      <c r="G7" s="23" t="s">
        <v>9</v>
      </c>
      <c r="H7" s="7"/>
      <c r="I7" s="23" t="s">
        <v>9</v>
      </c>
      <c r="J7" s="7"/>
      <c r="K7" s="23" t="s">
        <v>9</v>
      </c>
      <c r="L7" s="7"/>
      <c r="M7" s="23" t="s">
        <v>9</v>
      </c>
      <c r="N7" s="7"/>
      <c r="O7" s="23" t="s">
        <v>9</v>
      </c>
    </row>
    <row r="8" spans="1:15" ht="21" x14ac:dyDescent="0.35">
      <c r="A8" s="6" t="s">
        <v>7</v>
      </c>
      <c r="B8" s="11"/>
      <c r="C8" s="8"/>
      <c r="D8" s="11"/>
      <c r="E8" s="9"/>
      <c r="F8" s="7"/>
      <c r="G8" s="8"/>
      <c r="H8" s="7"/>
      <c r="I8" s="10"/>
      <c r="J8" s="7"/>
      <c r="K8" s="10"/>
      <c r="L8" s="7"/>
      <c r="M8" s="10"/>
      <c r="N8" s="11"/>
      <c r="O8" s="9"/>
    </row>
    <row r="9" spans="1:15" ht="21" x14ac:dyDescent="0.35">
      <c r="A9" s="2" t="s">
        <v>1</v>
      </c>
      <c r="B9" s="3" t="str">
        <f ca="1">TEXT(TODAY()+8,"dddd, m/d "" - AM""")</f>
        <v>Saturday, 8/8  - AM</v>
      </c>
      <c r="C9" s="4" t="str">
        <f ca="1">TEXT(TODAY()+8,"dddd, m/d "" - PM""")</f>
        <v>Saturday, 8/8  - PM</v>
      </c>
      <c r="D9" s="3" t="str">
        <f ca="1">TEXT(TODAY()+9,"dddd, m/d "" - AM""")</f>
        <v>Sunday, 8/9  - AM</v>
      </c>
      <c r="E9" s="4" t="str">
        <f ca="1">TEXT(TODAY()+9,"dddd, m/d "" - PM""")</f>
        <v>Sunday, 8/9  - PM</v>
      </c>
      <c r="F9" s="3" t="str">
        <f ca="1">TEXT(TODAY()+10,"dddd, m/d "" - AM""")</f>
        <v>Monday, 8/10  - AM</v>
      </c>
      <c r="G9" s="4" t="str">
        <f ca="1">TEXT(TODAY()+10,"dddd, m/d "" - PM""")</f>
        <v>Monday, 8/10  - PM</v>
      </c>
      <c r="H9" s="3" t="str">
        <f ca="1">TEXT(TODAY()+11,"dddd, m/d "" - AM""")</f>
        <v>Tuesday, 8/11  - AM</v>
      </c>
      <c r="I9" s="4" t="str">
        <f ca="1">TEXT(TODAY()+11,"dddd, m/d "" - PM""")</f>
        <v>Tuesday, 8/11  - PM</v>
      </c>
      <c r="J9" s="3" t="str">
        <f ca="1">TEXT(TODAY()+12,"dddd, m/d "" - AM""")</f>
        <v>Wednesday, 8/12  - AM</v>
      </c>
      <c r="K9" s="4" t="str">
        <f ca="1">TEXT(TODAY()+12,"dddd, m/d "" - PM""")</f>
        <v>Wednesday, 8/12  - PM</v>
      </c>
      <c r="L9" s="3" t="str">
        <f ca="1">TEXT(TODAY()+13,"dddd, m/d "" - AM""")</f>
        <v>Thursday, 8/13  - AM</v>
      </c>
      <c r="M9" s="4" t="str">
        <f ca="1">TEXT(TODAY()+13,"dddd, m/d "" - PM""")</f>
        <v>Thursday, 8/13  - PM</v>
      </c>
      <c r="N9" s="3" t="str">
        <f ca="1">TEXT(TODAY()+14,"dddd, m/d "" - AM""")</f>
        <v>Friday, 8/14  - AM</v>
      </c>
      <c r="O9" s="4" t="str">
        <f ca="1">TEXT(TODAY()+14,"dddd, m/d "" - PM""")</f>
        <v>Friday, 8/14  - PM</v>
      </c>
    </row>
    <row r="10" spans="1:15" ht="21" x14ac:dyDescent="0.35">
      <c r="A10" s="6" t="s">
        <v>2</v>
      </c>
      <c r="B10" s="7"/>
      <c r="C10" s="9"/>
      <c r="D10" s="7"/>
      <c r="E10" s="9"/>
      <c r="F10" s="7"/>
      <c r="G10" s="9"/>
      <c r="H10" s="7"/>
      <c r="I10" s="9"/>
      <c r="J10" s="7"/>
      <c r="K10" s="9"/>
      <c r="L10" s="7"/>
      <c r="M10" s="9"/>
      <c r="N10" s="7"/>
      <c r="O10" s="9"/>
    </row>
    <row r="11" spans="1:15" ht="21" x14ac:dyDescent="0.35">
      <c r="A11" s="6" t="s">
        <v>3</v>
      </c>
      <c r="B11" s="7"/>
      <c r="C11" s="23" t="s">
        <v>9</v>
      </c>
      <c r="D11" s="7"/>
      <c r="E11" s="23" t="s">
        <v>9</v>
      </c>
      <c r="F11" s="7"/>
      <c r="G11" s="23" t="s">
        <v>9</v>
      </c>
      <c r="H11" s="7"/>
      <c r="I11" s="23" t="s">
        <v>9</v>
      </c>
      <c r="J11" s="7"/>
      <c r="K11" s="23" t="s">
        <v>9</v>
      </c>
      <c r="L11" s="7"/>
      <c r="M11" s="23" t="s">
        <v>9</v>
      </c>
      <c r="N11" s="7"/>
      <c r="O11" s="23" t="s">
        <v>9</v>
      </c>
    </row>
    <row r="12" spans="1:15" ht="21" x14ac:dyDescent="0.35">
      <c r="A12" s="6" t="s">
        <v>4</v>
      </c>
      <c r="B12" s="7"/>
      <c r="C12" s="9"/>
      <c r="D12" s="7"/>
      <c r="E12" s="9"/>
      <c r="F12" s="7"/>
      <c r="G12" s="9"/>
      <c r="H12" s="7"/>
      <c r="I12" s="9"/>
      <c r="J12" s="7"/>
      <c r="K12" s="9"/>
      <c r="L12" s="7"/>
      <c r="M12" s="9"/>
      <c r="N12" s="7"/>
      <c r="O12" s="9"/>
    </row>
    <row r="13" spans="1:15" ht="21" x14ac:dyDescent="0.35">
      <c r="A13" s="6" t="s">
        <v>5</v>
      </c>
      <c r="B13" s="7"/>
      <c r="C13" s="10"/>
      <c r="D13" s="7"/>
      <c r="E13" s="10"/>
      <c r="F13" s="7"/>
      <c r="G13" s="10"/>
      <c r="H13" s="7"/>
      <c r="I13" s="10"/>
      <c r="J13" s="7"/>
      <c r="K13" s="10"/>
      <c r="L13" s="7"/>
      <c r="M13" s="10"/>
      <c r="N13" s="7"/>
      <c r="O13" s="10"/>
    </row>
    <row r="14" spans="1:15" ht="21" x14ac:dyDescent="0.35">
      <c r="A14" s="6" t="s">
        <v>6</v>
      </c>
      <c r="B14" s="7"/>
      <c r="C14" s="23" t="s">
        <v>9</v>
      </c>
      <c r="D14" s="7"/>
      <c r="E14" s="23" t="s">
        <v>9</v>
      </c>
      <c r="F14" s="7"/>
      <c r="G14" s="23" t="s">
        <v>9</v>
      </c>
      <c r="H14" s="7"/>
      <c r="I14" s="23" t="s">
        <v>9</v>
      </c>
      <c r="J14" s="7"/>
      <c r="K14" s="23" t="s">
        <v>9</v>
      </c>
      <c r="L14" s="7"/>
      <c r="M14" s="23" t="s">
        <v>9</v>
      </c>
      <c r="N14" s="7"/>
      <c r="O14" s="23" t="s">
        <v>9</v>
      </c>
    </row>
    <row r="15" spans="1:15" ht="21" x14ac:dyDescent="0.35">
      <c r="A15" s="6" t="s">
        <v>7</v>
      </c>
      <c r="B15" s="11"/>
      <c r="C15" s="9"/>
      <c r="D15" s="11"/>
      <c r="E15" s="9"/>
      <c r="F15" s="11"/>
      <c r="G15" s="9"/>
      <c r="H15" s="11"/>
      <c r="I15" s="9"/>
      <c r="J15" s="11"/>
      <c r="K15" s="9"/>
      <c r="L15" s="11"/>
      <c r="M15" s="9"/>
      <c r="N15" s="11"/>
      <c r="O15" s="9"/>
    </row>
    <row r="16" spans="1:15" ht="33.75" x14ac:dyDescent="0.25">
      <c r="B16" s="28" t="s">
        <v>8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21" x14ac:dyDescent="0.35">
      <c r="A17" s="2" t="s">
        <v>1</v>
      </c>
      <c r="B17" s="3" t="str">
        <f ca="1">TEXT(TODAY()+1,"dddd, m/d "" - AM""")</f>
        <v>Saturday, 8/1  - AM</v>
      </c>
      <c r="C17" s="5" t="str">
        <f ca="1">TEXT(TODAY()+1,"dddd, m/d "" - PM""")</f>
        <v>Saturday, 8/1  - PM</v>
      </c>
      <c r="D17" s="3" t="str">
        <f ca="1">TEXT(TODAY()+2,"dddd, m/d "" - AM""")</f>
        <v>Sunday, 8/2  - AM</v>
      </c>
      <c r="E17" s="5" t="str">
        <f ca="1">TEXT(TODAY()+2,"dddd, m/d "" - PM""")</f>
        <v>Sunday, 8/2  - PM</v>
      </c>
      <c r="F17" s="3" t="str">
        <f ca="1">TEXT(TODAY()+3,"dddd, m/d "" - AM""")</f>
        <v>Monday, 8/3  - AM</v>
      </c>
      <c r="G17" s="4" t="str">
        <f ca="1">TEXT(TODAY()+3,"dddd, m/d "" - PM""")</f>
        <v>Monday, 8/3  - PM</v>
      </c>
      <c r="H17" s="3" t="str">
        <f ca="1">TEXT(TODAY()+4,"dddd, m/d "" - AM""")</f>
        <v>Tuesday, 8/4  - AM</v>
      </c>
      <c r="I17" s="4" t="str">
        <f ca="1">TEXT(TODAY()+4,"dddd, m/d "" - PM""")</f>
        <v>Tuesday, 8/4  - PM</v>
      </c>
      <c r="J17" s="3" t="str">
        <f ca="1">TEXT(TODAY()+5,"dddd, m/d "" - AM""")</f>
        <v>Wednesday, 8/5  - AM</v>
      </c>
      <c r="K17" s="4" t="str">
        <f ca="1">TEXT(TODAY()+5,"dddd, m/d "" - PM""")</f>
        <v>Wednesday, 8/5  - PM</v>
      </c>
      <c r="L17" s="3" t="str">
        <f ca="1">TEXT(TODAY()+6,"dddd, m/d "" - AM""")</f>
        <v>Thursday, 8/6  - AM</v>
      </c>
      <c r="M17" s="4" t="str">
        <f ca="1">TEXT(TODAY()+6,"dddd, m/d "" - PM""")</f>
        <v>Thursday, 8/6  - PM</v>
      </c>
      <c r="N17" s="3" t="str">
        <f ca="1">TEXT(TODAY()+7,"dddd, m/d "" - AM""")</f>
        <v>Friday, 8/7  - AM</v>
      </c>
      <c r="O17" s="12" t="str">
        <f ca="1">TEXT(TODAY()+7,"dddd, m/d "" - PM""")</f>
        <v>Friday, 8/7  - PM</v>
      </c>
    </row>
    <row r="18" spans="1:15" ht="21" x14ac:dyDescent="0.35">
      <c r="A18" s="6" t="s">
        <v>2</v>
      </c>
      <c r="B18" s="7"/>
      <c r="C18" s="13"/>
      <c r="D18" s="7"/>
      <c r="E18" s="13"/>
      <c r="F18" s="7"/>
      <c r="G18" s="14"/>
      <c r="H18" s="7"/>
      <c r="I18" s="14"/>
      <c r="J18" s="7"/>
      <c r="K18" s="13"/>
      <c r="L18" s="7"/>
      <c r="M18" s="13"/>
      <c r="N18" s="7"/>
      <c r="O18" s="14"/>
    </row>
    <row r="19" spans="1:15" ht="21" x14ac:dyDescent="0.35">
      <c r="A19" s="6" t="s">
        <v>4</v>
      </c>
      <c r="B19" s="7"/>
      <c r="C19" s="13"/>
      <c r="D19" s="7"/>
      <c r="E19" s="13"/>
      <c r="F19" s="7"/>
      <c r="G19" s="13"/>
      <c r="H19" s="7"/>
      <c r="I19" s="13"/>
      <c r="J19" s="7"/>
      <c r="K19" s="13"/>
      <c r="L19" s="7"/>
      <c r="M19" s="13"/>
      <c r="N19" s="7"/>
      <c r="O19" s="13"/>
    </row>
    <row r="20" spans="1:15" ht="21" x14ac:dyDescent="0.35">
      <c r="A20" s="6" t="s">
        <v>5</v>
      </c>
      <c r="B20" s="7"/>
      <c r="C20" s="9"/>
      <c r="D20" s="7"/>
      <c r="E20" s="9"/>
      <c r="F20" s="7"/>
      <c r="G20" s="18"/>
      <c r="H20" s="7"/>
      <c r="I20" s="9"/>
      <c r="J20" s="7"/>
      <c r="K20" s="9"/>
      <c r="L20" s="7"/>
      <c r="M20" s="9"/>
      <c r="N20" s="7"/>
      <c r="O20" s="9"/>
    </row>
    <row r="21" spans="1:15" ht="21" x14ac:dyDescent="0.35">
      <c r="A21" s="6" t="s">
        <v>7</v>
      </c>
      <c r="B21" s="7"/>
      <c r="C21" s="15"/>
      <c r="D21" s="7"/>
      <c r="E21" s="15"/>
      <c r="F21" s="7"/>
      <c r="G21" s="19"/>
      <c r="H21" s="7"/>
      <c r="I21" s="15"/>
      <c r="J21" s="7"/>
      <c r="K21" s="15"/>
      <c r="L21" s="7"/>
      <c r="M21" s="15"/>
      <c r="N21" s="7"/>
      <c r="O21" s="15"/>
    </row>
    <row r="22" spans="1:15" ht="21" x14ac:dyDescent="0.35">
      <c r="A22" s="2" t="s">
        <v>1</v>
      </c>
      <c r="B22" s="3" t="str">
        <f ca="1">TEXT(TODAY()+8,"dddd, m/d "" - AM""")</f>
        <v>Saturday, 8/8  - AM</v>
      </c>
      <c r="C22" s="4" t="str">
        <f ca="1">TEXT(TODAY()+8,"dddd, m/d "" - PM""")</f>
        <v>Saturday, 8/8  - PM</v>
      </c>
      <c r="D22" s="3" t="str">
        <f ca="1">TEXT(TODAY()+9,"dddd, m/d "" - AM""")</f>
        <v>Sunday, 8/9  - AM</v>
      </c>
      <c r="E22" s="4" t="str">
        <f ca="1">TEXT(TODAY()+9,"dddd, m/d "" - PM""")</f>
        <v>Sunday, 8/9  - PM</v>
      </c>
      <c r="F22" s="3" t="str">
        <f ca="1">TEXT(TODAY()+10,"dddd, m/d "" - AM""")</f>
        <v>Monday, 8/10  - AM</v>
      </c>
      <c r="G22" s="4" t="str">
        <f ca="1">TEXT(TODAY()+10,"dddd, m/d "" - PM""")</f>
        <v>Monday, 8/10  - PM</v>
      </c>
      <c r="H22" s="3" t="str">
        <f ca="1">TEXT(TODAY()+11,"dddd, m/d "" - AM""")</f>
        <v>Tuesday, 8/11  - AM</v>
      </c>
      <c r="I22" s="4" t="str">
        <f ca="1">TEXT(TODAY()+11,"dddd, m/d "" - PM""")</f>
        <v>Tuesday, 8/11  - PM</v>
      </c>
      <c r="J22" s="3" t="str">
        <f ca="1">TEXT(TODAY()+12,"dddd, m/d "" - AM""")</f>
        <v>Wednesday, 8/12  - AM</v>
      </c>
      <c r="K22" s="4" t="str">
        <f ca="1">TEXT(TODAY()+12,"dddd, m/d "" - PM""")</f>
        <v>Wednesday, 8/12  - PM</v>
      </c>
      <c r="L22" s="3" t="str">
        <f ca="1">TEXT(TODAY()+13,"dddd, m/d "" - AM""")</f>
        <v>Thursday, 8/13  - AM</v>
      </c>
      <c r="M22" s="4" t="str">
        <f ca="1">TEXT(TODAY()+13,"dddd, m/d "" - PM""")</f>
        <v>Thursday, 8/13  - PM</v>
      </c>
      <c r="N22" s="3" t="str">
        <f ca="1">TEXT(TODAY()+14,"dddd, m/d "" - AM""")</f>
        <v>Friday, 8/14  - AM</v>
      </c>
      <c r="O22" s="4" t="str">
        <f ca="1">TEXT(TODAY()+14,"dddd, m/d "" - PM""")</f>
        <v>Friday, 8/14  - PM</v>
      </c>
    </row>
    <row r="23" spans="1:15" ht="21" x14ac:dyDescent="0.35">
      <c r="A23" s="16" t="s">
        <v>2</v>
      </c>
      <c r="B23" s="7"/>
      <c r="C23" s="14"/>
      <c r="D23" s="7"/>
      <c r="E23" s="14"/>
      <c r="F23" s="7"/>
      <c r="G23" s="14"/>
      <c r="H23" s="7"/>
      <c r="I23" s="14"/>
      <c r="J23" s="7"/>
      <c r="K23" s="14"/>
      <c r="L23" s="7"/>
      <c r="M23" s="14"/>
      <c r="N23" s="7"/>
      <c r="O23" s="14"/>
    </row>
    <row r="24" spans="1:15" ht="21" x14ac:dyDescent="0.35">
      <c r="A24" s="16" t="s">
        <v>4</v>
      </c>
      <c r="B24" s="7"/>
      <c r="C24" s="20"/>
      <c r="D24" s="7"/>
      <c r="E24" s="13"/>
      <c r="F24" s="7"/>
      <c r="G24" s="13"/>
      <c r="H24" s="7"/>
      <c r="I24" s="13"/>
      <c r="J24" s="7"/>
      <c r="K24" s="13"/>
      <c r="L24" s="7"/>
      <c r="M24" s="13"/>
      <c r="N24" s="7"/>
      <c r="O24" s="13"/>
    </row>
    <row r="25" spans="1:15" ht="21" x14ac:dyDescent="0.35">
      <c r="A25" s="16" t="s">
        <v>5</v>
      </c>
      <c r="B25" s="24"/>
      <c r="C25" s="25"/>
      <c r="D25" s="21"/>
      <c r="E25" s="18"/>
      <c r="F25" s="7"/>
      <c r="G25" s="9"/>
      <c r="H25" s="7"/>
      <c r="I25" s="9"/>
      <c r="J25" s="7"/>
      <c r="K25" s="18"/>
      <c r="L25" s="7"/>
      <c r="M25" s="18"/>
      <c r="N25" s="7"/>
      <c r="O25" s="18"/>
    </row>
    <row r="26" spans="1:15" ht="21.75" thickBot="1" x14ac:dyDescent="0.4">
      <c r="A26" s="16" t="s">
        <v>7</v>
      </c>
      <c r="B26" s="7"/>
      <c r="C26" s="22"/>
      <c r="D26" s="7"/>
      <c r="E26" s="19"/>
      <c r="F26" s="7"/>
      <c r="G26" s="15"/>
      <c r="H26" s="7"/>
      <c r="I26" s="15"/>
      <c r="J26" s="7"/>
      <c r="K26" s="19"/>
      <c r="L26" s="7"/>
      <c r="M26" s="19"/>
      <c r="N26" s="7"/>
      <c r="O26" s="19"/>
    </row>
    <row r="27" spans="1:15" ht="15.75" thickTop="1" x14ac:dyDescent="0.25"/>
  </sheetData>
  <mergeCells count="2">
    <mergeCell ref="B1:O1"/>
    <mergeCell ref="B16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Featherstone</dc:creator>
  <cp:lastModifiedBy>Logan Featherstone</cp:lastModifiedBy>
  <dcterms:created xsi:type="dcterms:W3CDTF">2026-05-11T17:54:51Z</dcterms:created>
  <dcterms:modified xsi:type="dcterms:W3CDTF">2026-07-31T04:08:42Z</dcterms:modified>
</cp:coreProperties>
</file>