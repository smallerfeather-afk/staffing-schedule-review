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all\OneDrive\Desktop\"/>
    </mc:Choice>
  </mc:AlternateContent>
  <xr:revisionPtr revIDLastSave="0" documentId="8_{A4B85250-6CA6-40FC-8BB3-35FDC88C7460}" xr6:coauthVersionLast="47" xr6:coauthVersionMax="47" xr10:uidLastSave="{00000000-0000-0000-0000-000000000000}"/>
  <bookViews>
    <workbookView xWindow="2625" yWindow="1755" windowWidth="57600" windowHeight="15645" xr2:uid="{FE79B3FD-52BE-4A80-B1AD-B5A9FCA527B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32" i="1" l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<sst xmlns="http://schemas.openxmlformats.org/spreadsheetml/2006/main" count="108" uniqueCount="20">
  <si>
    <t xml:space="preserve">Assisted Living </t>
  </si>
  <si>
    <t>Hall</t>
  </si>
  <si>
    <t xml:space="preserve">AL1 - MT </t>
  </si>
  <si>
    <t xml:space="preserve">AL1 - CG1 </t>
  </si>
  <si>
    <t>AL1 - CG2</t>
  </si>
  <si>
    <t>XXXXXXXXXXXX</t>
  </si>
  <si>
    <t xml:space="preserve">AL2 - MT </t>
  </si>
  <si>
    <t xml:space="preserve">AL2 - CG1 </t>
  </si>
  <si>
    <t>AL2 - CG2</t>
  </si>
  <si>
    <t xml:space="preserve">AL3- MT </t>
  </si>
  <si>
    <t>AL3- CG1</t>
  </si>
  <si>
    <t>AL3- CG2</t>
  </si>
  <si>
    <t>Memory Care</t>
  </si>
  <si>
    <t xml:space="preserve">MC1 - MT </t>
  </si>
  <si>
    <t xml:space="preserve">MC1 - CG1 </t>
  </si>
  <si>
    <t>MC1 - CG2</t>
  </si>
  <si>
    <t>MC1 - CG3</t>
  </si>
  <si>
    <t xml:space="preserve">MC2 - MT </t>
  </si>
  <si>
    <t xml:space="preserve">MC2 - CG1 </t>
  </si>
  <si>
    <t>MC2 - CG2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</si>
</sst>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\ h:mm"/>
  </numFmts>
  <fonts count="10" x14ac:knownFonts="1">
    <font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48"/>
      <color theme="0"/>
      <name val="Abadi"/>
      <family val="2"/>
    </font>
    <font>
      <b/>
      <sz val="22"/>
      <color theme="1"/>
      <name val="Aptos Narrow"/>
      <family val="2"/>
    </font>
    <font>
      <b/>
      <sz val="22"/>
      <color theme="0"/>
      <name val="Aptos Narrow"/>
      <family val="2"/>
    </font>
    <font>
      <sz val="22"/>
      <name val="Aptos Narrow"/>
      <family val="2"/>
    </font>
    <font>
      <sz val="22"/>
      <color theme="0"/>
      <name val="Aptos Narrow"/>
      <family val="2"/>
    </font>
    <font>
      <b/>
      <sz val="22"/>
      <color rgb="FFC00000"/>
      <name val="Aptos Narrow"/>
      <family val="2"/>
    </font>
    <font>
      <sz val="22"/>
      <color rgb="FFFFFF00"/>
      <name val="Aptos Narrow"/>
      <family val="2"/>
    </font>
    <font>
      <b/>
      <sz val="22"/>
      <name val="Aptos Narrow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1" tint="0.4999542222357860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0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medium">
        <color rgb="FFFF0000"/>
      </bottom>
      <diagonal/>
    </border>
    <border>
      <left/>
      <right style="thin">
        <color indexed="64"/>
      </right>
      <top style="thin">
        <color theme="0"/>
      </top>
      <bottom style="medium">
        <color rgb="FFFF0000"/>
      </bottom>
      <diagonal/>
    </border>
    <border>
      <left/>
      <right/>
      <top style="thin">
        <color indexed="64"/>
      </top>
      <bottom style="medium">
        <color rgb="FFFF0000"/>
      </bottom>
      <diagonal/>
    </border>
    <border>
      <left/>
      <right style="thin">
        <color theme="1"/>
      </right>
      <top style="thin">
        <color theme="0"/>
      </top>
      <bottom style="medium">
        <color rgb="FFFF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theme="0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theme="0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/>
      <right style="thin">
        <color theme="1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1" xfId="0" applyFont="1" applyFill="1" applyBorder="1"/>
    <xf numFmtId="0" fontId="3" fillId="0" borderId="5" xfId="0" applyFont="1" applyBorder="1" applyAlignment="1">
      <alignment horizontal="center"/>
    </xf>
    <xf numFmtId="164" fontId="3" fillId="4" borderId="6" xfId="0" applyNumberFormat="1" applyFont="1" applyFill="1" applyBorder="1" applyAlignment="1">
      <alignment horizontal="center"/>
    </xf>
    <xf numFmtId="164" fontId="4" fillId="5" borderId="7" xfId="0" applyNumberFormat="1" applyFont="1" applyFill="1" applyBorder="1" applyAlignment="1">
      <alignment horizontal="center"/>
    </xf>
    <xf numFmtId="164" fontId="3" fillId="6" borderId="7" xfId="0" applyNumberFormat="1" applyFont="1" applyFill="1" applyBorder="1" applyAlignment="1">
      <alignment horizontal="center"/>
    </xf>
    <xf numFmtId="164" fontId="4" fillId="5" borderId="8" xfId="0" applyNumberFormat="1" applyFont="1" applyFill="1" applyBorder="1" applyAlignment="1">
      <alignment horizontal="center"/>
    </xf>
    <xf numFmtId="0" fontId="3" fillId="7" borderId="5" xfId="0" applyFont="1" applyFill="1" applyBorder="1"/>
    <xf numFmtId="0" fontId="5" fillId="0" borderId="9" xfId="0" applyFont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8" fillId="8" borderId="13" xfId="0" applyFont="1" applyFill="1" applyBorder="1" applyAlignment="1">
      <alignment horizontal="center" vertical="center"/>
    </xf>
    <xf numFmtId="0" fontId="8" fillId="8" borderId="14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8" fillId="8" borderId="16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8" fillId="8" borderId="18" xfId="0" applyFont="1" applyFill="1" applyBorder="1" applyAlignment="1">
      <alignment horizontal="center" vertical="center"/>
    </xf>
    <xf numFmtId="0" fontId="3" fillId="9" borderId="5" xfId="0" applyFont="1" applyFill="1" applyBorder="1"/>
    <xf numFmtId="0" fontId="9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0" fontId="6" fillId="8" borderId="12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10" borderId="5" xfId="0" applyFont="1" applyFill="1" applyBorder="1"/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3" fillId="10" borderId="22" xfId="0" applyFont="1" applyFill="1" applyBorder="1"/>
    <xf numFmtId="0" fontId="5" fillId="0" borderId="23" xfId="0" applyFont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8" fillId="8" borderId="26" xfId="0" applyFont="1" applyFill="1" applyBorder="1" applyAlignment="1">
      <alignment horizontal="center" vertical="center"/>
    </xf>
    <xf numFmtId="0" fontId="0" fillId="11" borderId="0" xfId="0" applyFill="1"/>
    <xf numFmtId="0" fontId="9" fillId="0" borderId="9" xfId="0" applyFont="1" applyBorder="1" applyAlignment="1">
      <alignment horizontal="center" vertical="center"/>
    </xf>
    <xf numFmtId="0" fontId="3" fillId="7" borderId="27" xfId="0" applyFont="1" applyFill="1" applyBorder="1"/>
    <xf numFmtId="0" fontId="3" fillId="9" borderId="28" xfId="0" applyFont="1" applyFill="1" applyBorder="1"/>
    <xf numFmtId="0" fontId="5" fillId="0" borderId="19" xfId="0" applyFont="1" applyBorder="1" applyAlignment="1">
      <alignment horizontal="center" vertical="center"/>
    </xf>
    <xf numFmtId="0" fontId="8" fillId="8" borderId="29" xfId="0" applyFont="1" applyFill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8" fillId="8" borderId="12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4" fillId="8" borderId="20" xfId="0" applyFont="1" applyFill="1" applyBorder="1" applyAlignment="1">
      <alignment horizontal="center" vertical="center"/>
    </xf>
    <xf numFmtId="0" fontId="6" fillId="8" borderId="30" xfId="0" applyFont="1" applyFill="1" applyBorder="1" applyAlignment="1">
      <alignment horizontal="center" vertical="center"/>
    </xf>
    <xf numFmtId="164" fontId="9" fillId="13" borderId="7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FFC03-9933-47C2-8E47-E0B5263248F7}">
  <dimension ref="A1:O39"/>
  <sheetViews>
    <sheetView tabSelected="1" zoomScale="40" zoomScaleNormal="40" workbookViewId="0">
      <selection activeCell="T21" sqref="T21"/>
    </sheetView>
  </sheetViews>
  <sheetFormatPr defaultRowHeight="15" x14ac:dyDescent="0.25"/>
  <cols>
    <col min="1" max="1" width="20.42578125" bestFit="1" customWidth="1"/>
    <col min="2" max="3" width="40.85546875" bestFit="1" customWidth="1"/>
    <col min="4" max="5" width="36.28515625" bestFit="1" customWidth="1"/>
    <col min="6" max="7" width="31.140625" bestFit="1" customWidth="1"/>
    <col min="8" max="9" width="36" bestFit="1" customWidth="1"/>
    <col min="10" max="11" width="33.28515625" bestFit="1" customWidth="1"/>
    <col min="12" max="13" width="34" bestFit="1" customWidth="1"/>
    <col min="14" max="15" width="34.85546875" bestFit="1" customWidth="1"/>
  </cols>
  <sheetData>
    <row r="1" spans="1:15" ht="66.75" x14ac:dyDescent="0.45">
      <c r="A1" s="1"/>
      <c r="B1" s="55" t="s">
        <v>0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7"/>
    </row>
    <row r="2" spans="1:15" ht="28.5" x14ac:dyDescent="0.45">
      <c r="A2" s="2" t="s">
        <v>1</v>
      </c>
      <c r="B2" s="3" t="str">
        <f ca="1">TEXT(TODAY()+1,"dddd, m/d "" - AM""")</f>
        <v>Friday, 7/31  - AM</v>
      </c>
      <c r="C2" s="4" t="str">
        <f ca="1">TEXT(TODAY()+1,"dddd, m/d "" - PM""")</f>
        <v>Friday, 7/31  - PM</v>
      </c>
      <c r="D2" s="3" t="str">
        <f ca="1">TEXT(TODAY()+2,"dddd, m/d "" - AM""")</f>
        <v>Saturday, 8/1  - AM</v>
      </c>
      <c r="E2" s="4" t="str">
        <f ca="1">TEXT(TODAY()+2,"dddd, m/d "" - PM""")</f>
        <v>Saturday, 8/1  - PM</v>
      </c>
      <c r="F2" s="3" t="str">
        <f ca="1">TEXT(TODAY()+3,"dddd, m/d "" - AM""")</f>
        <v>Sunday, 8/2  - AM</v>
      </c>
      <c r="G2" s="4" t="str">
        <f ca="1">TEXT(TODAY()+3,"dddd, m/d "" - PM""")</f>
        <v>Sunday, 8/2  - PM</v>
      </c>
      <c r="H2" s="5" t="str">
        <f ca="1">TEXT(TODAY()+4,"dddd, m/d "" - AM""")</f>
        <v>Monday, 8/3  - AM</v>
      </c>
      <c r="I2" s="4" t="str">
        <f ca="1">TEXT(TODAY()+4,"dddd, m/d "" - PM""")</f>
        <v>Monday, 8/3  - PM</v>
      </c>
      <c r="J2" s="3" t="str">
        <f ca="1">TEXT(TODAY()+5,"dddd, m/d "" - AM""")</f>
        <v>Tuesday, 8/4  - AM</v>
      </c>
      <c r="K2" s="4" t="str">
        <f ca="1">TEXT(TODAY()+5,"dddd, m/d "" - PM""")</f>
        <v>Tuesday, 8/4  - PM</v>
      </c>
      <c r="L2" s="3" t="str">
        <f ca="1">TEXT(TODAY()+6,"dddd, m/d "" - AM""")</f>
        <v>Wednesday, 8/5  - AM</v>
      </c>
      <c r="M2" s="4" t="str">
        <f ca="1">TEXT(TODAY()+6,"dddd, m/d "" - PM""")</f>
        <v>Wednesday, 8/5  - PM</v>
      </c>
      <c r="N2" s="3" t="str">
        <f ca="1">TEXT(TODAY()+7,"dddd, m/d "" - AM""")</f>
        <v>Thursday, 8/6  - AM</v>
      </c>
      <c r="O2" s="6" t="str">
        <f ca="1">TEXT(TODAY()+7,"dddd, m/d "" - PM""")</f>
        <v>Thursday, 8/6  - PM</v>
      </c>
    </row>
    <row r="3" spans="1:15" ht="57" customHeight="1" x14ac:dyDescent="0.45">
      <c r="A3" s="7" t="s">
        <v>2</v>
      </c>
      <c r="B3" s="8"/>
      <c r="C3" s="9"/>
      <c r="D3" s="10"/>
      <c r="E3" s="9"/>
      <c r="F3" s="10"/>
      <c r="G3" s="9"/>
      <c r="H3" s="11"/>
      <c r="I3" s="9"/>
      <c r="J3" s="10"/>
      <c r="K3" s="9"/>
      <c r="L3" s="11"/>
      <c r="M3" s="9"/>
      <c r="N3" s="11"/>
      <c r="O3" s="12"/>
    </row>
    <row r="4" spans="1:15" ht="57" customHeight="1" x14ac:dyDescent="0.45">
      <c r="A4" s="7" t="s">
        <v>3</v>
      </c>
      <c r="B4" s="8"/>
      <c r="C4" s="13"/>
      <c r="D4" s="10"/>
      <c r="E4" s="13"/>
      <c r="F4" s="11"/>
      <c r="G4" s="13"/>
      <c r="H4" s="10"/>
      <c r="I4" s="13"/>
      <c r="J4" s="10"/>
      <c r="K4" s="13"/>
      <c r="L4" s="10"/>
      <c r="M4" s="13"/>
      <c r="N4" s="11"/>
      <c r="O4" s="14"/>
    </row>
    <row r="5" spans="1:15" ht="57" customHeight="1" thickBot="1" x14ac:dyDescent="0.5">
      <c r="A5" s="7" t="s">
        <v>4</v>
      </c>
      <c r="B5" s="15"/>
      <c r="C5" s="16" t="s">
        <v>5</v>
      </c>
      <c r="D5" s="17"/>
      <c r="E5" s="16" t="s">
        <v>5</v>
      </c>
      <c r="F5" s="17"/>
      <c r="G5" s="16" t="s">
        <v>5</v>
      </c>
      <c r="H5" s="18"/>
      <c r="I5" s="16" t="s">
        <v>5</v>
      </c>
      <c r="J5" s="18"/>
      <c r="K5" s="16" t="s">
        <v>5</v>
      </c>
      <c r="L5" s="18"/>
      <c r="M5" s="16" t="s">
        <v>5</v>
      </c>
      <c r="N5" s="19"/>
      <c r="O5" s="20" t="s">
        <v>5</v>
      </c>
    </row>
    <row r="6" spans="1:15" ht="57" customHeight="1" x14ac:dyDescent="0.45">
      <c r="A6" s="21" t="s">
        <v>6</v>
      </c>
      <c r="B6" s="22"/>
      <c r="C6" s="9"/>
      <c r="D6" s="23"/>
      <c r="E6" s="9"/>
      <c r="F6" s="24"/>
      <c r="G6" s="25"/>
      <c r="H6" s="23"/>
      <c r="I6" s="26"/>
      <c r="J6" s="23"/>
      <c r="K6" s="26"/>
      <c r="L6" s="23"/>
      <c r="M6" s="26"/>
      <c r="N6" s="24"/>
      <c r="O6" s="27"/>
    </row>
    <row r="7" spans="1:15" ht="57" customHeight="1" x14ac:dyDescent="0.45">
      <c r="A7" s="21" t="s">
        <v>7</v>
      </c>
      <c r="B7" s="8"/>
      <c r="C7" s="13"/>
      <c r="D7" s="10"/>
      <c r="E7" s="13"/>
      <c r="F7" s="10"/>
      <c r="G7" s="13"/>
      <c r="H7" s="11"/>
      <c r="I7" s="13"/>
      <c r="J7" s="28"/>
      <c r="K7" s="13"/>
      <c r="L7" s="28"/>
      <c r="M7" s="13"/>
      <c r="N7" s="10"/>
      <c r="O7" s="14"/>
    </row>
    <row r="8" spans="1:15" ht="57" customHeight="1" thickBot="1" x14ac:dyDescent="0.5">
      <c r="A8" s="21" t="s">
        <v>8</v>
      </c>
      <c r="B8" s="29"/>
      <c r="C8" s="16" t="s">
        <v>5</v>
      </c>
      <c r="D8" s="19"/>
      <c r="E8" s="16" t="s">
        <v>5</v>
      </c>
      <c r="F8" s="19"/>
      <c r="G8" s="16" t="s">
        <v>5</v>
      </c>
      <c r="H8" s="19"/>
      <c r="I8" s="16" t="s">
        <v>5</v>
      </c>
      <c r="J8" s="17"/>
      <c r="K8" s="16" t="s">
        <v>5</v>
      </c>
      <c r="L8" s="17"/>
      <c r="M8" s="16" t="s">
        <v>5</v>
      </c>
      <c r="N8" s="19"/>
      <c r="O8" s="20" t="s">
        <v>5</v>
      </c>
    </row>
    <row r="9" spans="1:15" ht="57" customHeight="1" x14ac:dyDescent="0.45">
      <c r="A9" s="30" t="s">
        <v>9</v>
      </c>
      <c r="B9" s="31"/>
      <c r="C9" s="9"/>
      <c r="D9" s="32"/>
      <c r="E9" s="25"/>
      <c r="F9" s="32"/>
      <c r="G9" s="9"/>
      <c r="H9" s="32"/>
      <c r="I9" s="9"/>
      <c r="J9" s="33"/>
      <c r="K9" s="9"/>
      <c r="L9" s="33"/>
      <c r="M9" s="9"/>
      <c r="N9" s="32"/>
      <c r="O9" s="27"/>
    </row>
    <row r="10" spans="1:15" ht="57" customHeight="1" x14ac:dyDescent="0.45">
      <c r="A10" s="30" t="s">
        <v>10</v>
      </c>
      <c r="B10" s="34"/>
      <c r="C10" s="13"/>
      <c r="D10" s="35"/>
      <c r="E10" s="13"/>
      <c r="F10" s="35"/>
      <c r="G10" s="13"/>
      <c r="H10" s="35"/>
      <c r="I10" s="13"/>
      <c r="J10" s="36"/>
      <c r="K10" s="13"/>
      <c r="L10" s="36"/>
      <c r="M10" s="13"/>
      <c r="N10" s="35"/>
      <c r="O10" s="14"/>
    </row>
    <row r="11" spans="1:15" ht="57" customHeight="1" x14ac:dyDescent="0.45">
      <c r="A11" s="30" t="s">
        <v>11</v>
      </c>
      <c r="B11" s="34"/>
      <c r="C11" s="13" t="s">
        <v>5</v>
      </c>
      <c r="D11" s="35"/>
      <c r="E11" s="13" t="s">
        <v>5</v>
      </c>
      <c r="F11" s="35"/>
      <c r="G11" s="13" t="s">
        <v>5</v>
      </c>
      <c r="H11" s="35"/>
      <c r="I11" s="13" t="s">
        <v>5</v>
      </c>
      <c r="J11" s="36"/>
      <c r="K11" s="13" t="s">
        <v>5</v>
      </c>
      <c r="L11" s="36"/>
      <c r="M11" s="13" t="s">
        <v>5</v>
      </c>
      <c r="N11" s="35"/>
      <c r="O11" s="14" t="s">
        <v>5</v>
      </c>
    </row>
    <row r="12" spans="1:15" ht="28.5" x14ac:dyDescent="0.45">
      <c r="A12" s="2" t="s">
        <v>1</v>
      </c>
      <c r="B12" s="3" t="str">
        <f ca="1">TEXT(TODAY()+8,"dddd, m/d "" - AM""")</f>
        <v>Friday, 8/7  - AM</v>
      </c>
      <c r="C12" s="4" t="str">
        <f ca="1">TEXT(TODAY()+8,"dddd, m/d "" - PM""")</f>
        <v>Friday, 8/7  - PM</v>
      </c>
      <c r="D12" s="3" t="str">
        <f ca="1">TEXT(TODAY()+9,"dddd, m/d "" - AM""")</f>
        <v>Saturday, 8/8  - AM</v>
      </c>
      <c r="E12" s="4" t="str">
        <f ca="1">TEXT(TODAY()+9,"dddd, m/d "" - PM""")</f>
        <v>Saturday, 8/8  - PM</v>
      </c>
      <c r="F12" s="3" t="str">
        <f ca="1">TEXT(TODAY()+10,"dddd, m/d "" - AM""")</f>
        <v>Sunday, 8/9  - AM</v>
      </c>
      <c r="G12" s="4" t="str">
        <f ca="1">TEXT(TODAY()+10,"dddd, m/d "" - PM""")</f>
        <v>Sunday, 8/9  - PM</v>
      </c>
      <c r="H12" s="3" t="str">
        <f ca="1">TEXT(TODAY()+11,"dddd, m/d "" - AM""")</f>
        <v>Monday, 8/10  - AM</v>
      </c>
      <c r="I12" s="4" t="str">
        <f ca="1">TEXT(TODAY()+11,"dddd, m/d "" - PM""")</f>
        <v>Monday, 8/10  - PM</v>
      </c>
      <c r="J12" s="3" t="str">
        <f ca="1">TEXT(TODAY()+12,"dddd, m/d "" - AM""")</f>
        <v>Tuesday, 8/11  - AM</v>
      </c>
      <c r="K12" s="4" t="str">
        <f ca="1">TEXT(TODAY()+12,"dddd, m/d "" - PM""")</f>
        <v>Tuesday, 8/11  - PM</v>
      </c>
      <c r="L12" s="3" t="str">
        <f ca="1">TEXT(TODAY()+13,"dddd, m/d "" - AM""")</f>
        <v>Wednesday, 8/12  - AM</v>
      </c>
      <c r="M12" s="4" t="str">
        <f ca="1">TEXT(TODAY()+13,"dddd, m/d "" - PM""")</f>
        <v>Wednesday, 8/12  - PM</v>
      </c>
      <c r="N12" s="3" t="str">
        <f ca="1">TEXT(TODAY()+14,"dddd, m/d "" - AM""")</f>
        <v>Thursday, 8/13  - AM</v>
      </c>
      <c r="O12" s="6" t="str">
        <f ca="1">TEXT(TODAY()+14,"dddd, m/d "" - PM""")</f>
        <v>Thursday, 8/13  - PM</v>
      </c>
    </row>
    <row r="13" spans="1:15" ht="57" customHeight="1" x14ac:dyDescent="0.45">
      <c r="A13" s="7" t="s">
        <v>2</v>
      </c>
      <c r="B13" s="8"/>
      <c r="C13" s="9"/>
      <c r="D13" s="10"/>
      <c r="E13" s="9"/>
      <c r="F13" s="10"/>
      <c r="G13" s="9"/>
      <c r="H13" s="11"/>
      <c r="I13" s="9"/>
      <c r="J13" s="10"/>
      <c r="K13" s="9"/>
      <c r="L13" s="11"/>
      <c r="M13" s="9"/>
      <c r="N13" s="11"/>
      <c r="O13" s="12"/>
    </row>
    <row r="14" spans="1:15" ht="57" customHeight="1" x14ac:dyDescent="0.45">
      <c r="A14" s="7" t="s">
        <v>3</v>
      </c>
      <c r="B14" s="8"/>
      <c r="C14" s="13"/>
      <c r="D14" s="10"/>
      <c r="E14" s="13"/>
      <c r="F14" s="11"/>
      <c r="G14" s="13"/>
      <c r="H14" s="10"/>
      <c r="I14" s="13"/>
      <c r="J14" s="10"/>
      <c r="K14" s="13"/>
      <c r="L14" s="10"/>
      <c r="M14" s="13"/>
      <c r="N14" s="11"/>
      <c r="O14" s="14"/>
    </row>
    <row r="15" spans="1:15" ht="57" customHeight="1" thickBot="1" x14ac:dyDescent="0.5">
      <c r="A15" s="7" t="s">
        <v>4</v>
      </c>
      <c r="B15" s="15"/>
      <c r="C15" s="16" t="s">
        <v>5</v>
      </c>
      <c r="D15" s="17"/>
      <c r="E15" s="16" t="s">
        <v>5</v>
      </c>
      <c r="F15" s="17"/>
      <c r="G15" s="16" t="s">
        <v>5</v>
      </c>
      <c r="H15" s="18"/>
      <c r="I15" s="16" t="s">
        <v>5</v>
      </c>
      <c r="J15" s="18"/>
      <c r="K15" s="16" t="s">
        <v>5</v>
      </c>
      <c r="L15" s="18"/>
      <c r="M15" s="16" t="s">
        <v>5</v>
      </c>
      <c r="N15" s="19"/>
      <c r="O15" s="20" t="s">
        <v>5</v>
      </c>
    </row>
    <row r="16" spans="1:15" ht="57" customHeight="1" x14ac:dyDescent="0.45">
      <c r="A16" s="21" t="s">
        <v>6</v>
      </c>
      <c r="B16" s="22"/>
      <c r="C16" s="9"/>
      <c r="D16" s="23"/>
      <c r="E16" s="9"/>
      <c r="F16" s="24"/>
      <c r="G16" s="25"/>
      <c r="H16" s="23"/>
      <c r="I16" s="26"/>
      <c r="J16" s="23"/>
      <c r="K16" s="26"/>
      <c r="L16" s="23"/>
      <c r="M16" s="26"/>
      <c r="N16" s="24"/>
      <c r="O16" s="27"/>
    </row>
    <row r="17" spans="1:15" ht="57" customHeight="1" x14ac:dyDescent="0.45">
      <c r="A17" s="21" t="s">
        <v>7</v>
      </c>
      <c r="B17" s="8"/>
      <c r="C17" s="13"/>
      <c r="D17" s="10"/>
      <c r="E17" s="13"/>
      <c r="F17" s="10"/>
      <c r="G17" s="13"/>
      <c r="H17" s="11"/>
      <c r="I17" s="13"/>
      <c r="J17" s="28"/>
      <c r="K17" s="13"/>
      <c r="L17" s="28"/>
      <c r="M17" s="13"/>
      <c r="N17" s="10"/>
      <c r="O17" s="14"/>
    </row>
    <row r="18" spans="1:15" ht="57" customHeight="1" thickBot="1" x14ac:dyDescent="0.5">
      <c r="A18" s="21" t="s">
        <v>8</v>
      </c>
      <c r="B18" s="29"/>
      <c r="C18" s="16" t="s">
        <v>5</v>
      </c>
      <c r="D18" s="19"/>
      <c r="E18" s="16" t="s">
        <v>5</v>
      </c>
      <c r="F18" s="19"/>
      <c r="G18" s="16" t="s">
        <v>5</v>
      </c>
      <c r="H18" s="19"/>
      <c r="I18" s="16" t="s">
        <v>5</v>
      </c>
      <c r="J18" s="17"/>
      <c r="K18" s="16" t="s">
        <v>5</v>
      </c>
      <c r="L18" s="17"/>
      <c r="M18" s="16" t="s">
        <v>5</v>
      </c>
      <c r="N18" s="19"/>
      <c r="O18" s="20" t="s">
        <v>5</v>
      </c>
    </row>
    <row r="19" spans="1:15" ht="57" customHeight="1" x14ac:dyDescent="0.45">
      <c r="A19" s="30" t="s">
        <v>9</v>
      </c>
      <c r="B19" s="31"/>
      <c r="C19" s="9"/>
      <c r="D19" s="32"/>
      <c r="E19" s="25"/>
      <c r="F19" s="32"/>
      <c r="G19" s="9"/>
      <c r="H19" s="32"/>
      <c r="I19" s="9"/>
      <c r="J19" s="33"/>
      <c r="K19" s="9"/>
      <c r="L19" s="33"/>
      <c r="M19" s="9"/>
      <c r="N19" s="32"/>
      <c r="O19" s="27"/>
    </row>
    <row r="20" spans="1:15" ht="57" customHeight="1" x14ac:dyDescent="0.45">
      <c r="A20" s="30" t="s">
        <v>10</v>
      </c>
      <c r="B20" s="34"/>
      <c r="C20" s="13"/>
      <c r="D20" s="35"/>
      <c r="E20" s="13"/>
      <c r="F20" s="35"/>
      <c r="G20" s="13"/>
      <c r="H20" s="35"/>
      <c r="I20" s="13"/>
      <c r="J20" s="36"/>
      <c r="K20" s="13"/>
      <c r="L20" s="36"/>
      <c r="M20" s="13"/>
      <c r="N20" s="35"/>
      <c r="O20" s="14"/>
    </row>
    <row r="21" spans="1:15" ht="57" customHeight="1" x14ac:dyDescent="0.45">
      <c r="A21" s="37" t="s">
        <v>11</v>
      </c>
      <c r="B21" s="38"/>
      <c r="C21" s="39" t="s">
        <v>5</v>
      </c>
      <c r="D21" s="40"/>
      <c r="E21" s="39" t="s">
        <v>5</v>
      </c>
      <c r="F21" s="40"/>
      <c r="G21" s="39" t="s">
        <v>5</v>
      </c>
      <c r="H21" s="40"/>
      <c r="I21" s="39" t="s">
        <v>5</v>
      </c>
      <c r="J21" s="41"/>
      <c r="K21" s="39" t="s">
        <v>5</v>
      </c>
      <c r="L21" s="41"/>
      <c r="M21" s="39" t="s">
        <v>5</v>
      </c>
      <c r="N21" s="40"/>
      <c r="O21" s="42" t="s">
        <v>5</v>
      </c>
    </row>
    <row r="22" spans="1:15" x14ac:dyDescent="0.25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</row>
    <row r="23" spans="1:15" ht="66.75" x14ac:dyDescent="0.45">
      <c r="A23" s="1"/>
      <c r="B23" s="58" t="s">
        <v>12</v>
      </c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60"/>
    </row>
    <row r="24" spans="1:15" ht="28.5" x14ac:dyDescent="0.45">
      <c r="A24" s="2" t="s">
        <v>1</v>
      </c>
      <c r="B24" s="3" t="str">
        <f ca="1">TEXT(TODAY()+1,"dddd, m/d "" - AM""")</f>
        <v>Friday, 7/31  - AM</v>
      </c>
      <c r="C24" s="4" t="str">
        <f ca="1">TEXT(TODAY()+1,"dddd, m/d "" - PM""")</f>
        <v>Friday, 7/31  - PM</v>
      </c>
      <c r="D24" s="3" t="str">
        <f ca="1">TEXT(TODAY()+2,"dddd, m/d "" - AM""")</f>
        <v>Saturday, 8/1  - AM</v>
      </c>
      <c r="E24" s="4" t="str">
        <f ca="1">TEXT(TODAY()+2,"dddd, m/d "" - PM""")</f>
        <v>Saturday, 8/1  - PM</v>
      </c>
      <c r="F24" s="3" t="str">
        <f ca="1">TEXT(TODAY()+3,"dddd, m/d "" - AM""")</f>
        <v>Sunday, 8/2  - AM</v>
      </c>
      <c r="G24" s="4" t="str">
        <f ca="1">TEXT(TODAY()+3,"dddd, m/d "" - PM""")</f>
        <v>Sunday, 8/2  - PM</v>
      </c>
      <c r="H24" s="54" t="str">
        <f ca="1">TEXT(TODAY()+4,"dddd, m/d "" - AM""")</f>
        <v>Monday, 8/3  - AM</v>
      </c>
      <c r="I24" s="4" t="str">
        <f ca="1">TEXT(TODAY()+4,"dddd, m/d "" - PM""")</f>
        <v>Monday, 8/3  - PM</v>
      </c>
      <c r="J24" s="3" t="str">
        <f ca="1">TEXT(TODAY()+5,"dddd, m/d "" - AM""")</f>
        <v>Tuesday, 8/4  - AM</v>
      </c>
      <c r="K24" s="4" t="str">
        <f ca="1">TEXT(TODAY()+5,"dddd, m/d "" - PM""")</f>
        <v>Tuesday, 8/4  - PM</v>
      </c>
      <c r="L24" s="3" t="str">
        <f ca="1">TEXT(TODAY()+6,"dddd, m/d "" - AM""")</f>
        <v>Wednesday, 8/5  - AM</v>
      </c>
      <c r="M24" s="4" t="str">
        <f ca="1">TEXT(TODAY()+6,"dddd, m/d "" - PM""")</f>
        <v>Wednesday, 8/5  - PM</v>
      </c>
      <c r="N24" s="3" t="str">
        <f ca="1">TEXT(TODAY()+7,"dddd, m/d "" - AM""")</f>
        <v>Thursday, 8/6  - AM</v>
      </c>
      <c r="O24" s="6" t="str">
        <f ca="1">TEXT(TODAY()+7,"dddd, m/d "" - PM""")</f>
        <v>Thursday, 8/6  - PM</v>
      </c>
    </row>
    <row r="25" spans="1:15" ht="57" customHeight="1" x14ac:dyDescent="0.45">
      <c r="A25" s="7" t="s">
        <v>13</v>
      </c>
      <c r="B25" s="8"/>
      <c r="C25" s="9"/>
      <c r="D25" s="10"/>
      <c r="E25" s="9"/>
      <c r="F25" s="10"/>
      <c r="G25" s="9"/>
      <c r="H25" s="11"/>
      <c r="I25" s="9"/>
      <c r="J25" s="10"/>
      <c r="K25" s="9"/>
      <c r="L25" s="11"/>
      <c r="M25" s="9"/>
      <c r="N25" s="11"/>
      <c r="O25" s="12"/>
    </row>
    <row r="26" spans="1:15" ht="57" customHeight="1" x14ac:dyDescent="0.45">
      <c r="A26" s="7" t="s">
        <v>14</v>
      </c>
      <c r="B26" s="8"/>
      <c r="C26" s="13"/>
      <c r="D26" s="10"/>
      <c r="E26" s="13"/>
      <c r="F26" s="11"/>
      <c r="G26" s="13"/>
      <c r="H26" s="10"/>
      <c r="I26" s="13"/>
      <c r="J26" s="10"/>
      <c r="K26" s="13"/>
      <c r="L26" s="10"/>
      <c r="M26" s="13"/>
      <c r="N26" s="11"/>
      <c r="O26" s="14"/>
    </row>
    <row r="27" spans="1:15" ht="57" customHeight="1" x14ac:dyDescent="0.45">
      <c r="A27" s="7" t="s">
        <v>15</v>
      </c>
      <c r="B27" s="44"/>
      <c r="C27" s="13" t="s">
        <v>5</v>
      </c>
      <c r="D27" s="28"/>
      <c r="E27" s="13" t="s">
        <v>5</v>
      </c>
      <c r="F27" s="28"/>
      <c r="G27" s="13" t="s">
        <v>5</v>
      </c>
      <c r="H27" s="11"/>
      <c r="I27" s="13" t="s">
        <v>5</v>
      </c>
      <c r="J27" s="11"/>
      <c r="K27" s="13" t="s">
        <v>5</v>
      </c>
      <c r="L27" s="11"/>
      <c r="M27" s="13" t="s">
        <v>5</v>
      </c>
      <c r="N27" s="10"/>
      <c r="O27" s="14" t="s">
        <v>5</v>
      </c>
    </row>
    <row r="28" spans="1:15" ht="57" customHeight="1" thickBot="1" x14ac:dyDescent="0.5">
      <c r="A28" s="45" t="s">
        <v>16</v>
      </c>
      <c r="B28" s="15"/>
      <c r="C28" s="16" t="s">
        <v>5</v>
      </c>
      <c r="D28" s="19"/>
      <c r="E28" s="16" t="s">
        <v>5</v>
      </c>
      <c r="F28" s="18"/>
      <c r="G28" s="16" t="s">
        <v>5</v>
      </c>
      <c r="H28" s="19"/>
      <c r="I28" s="16" t="s">
        <v>5</v>
      </c>
      <c r="J28" s="19"/>
      <c r="K28" s="16" t="s">
        <v>5</v>
      </c>
      <c r="L28" s="19"/>
      <c r="M28" s="16" t="s">
        <v>5</v>
      </c>
      <c r="N28" s="18"/>
      <c r="O28" s="16" t="s">
        <v>5</v>
      </c>
    </row>
    <row r="29" spans="1:15" ht="57" customHeight="1" x14ac:dyDescent="0.45">
      <c r="A29" s="46" t="s">
        <v>17</v>
      </c>
      <c r="B29" s="47"/>
      <c r="C29" s="48"/>
      <c r="D29" s="23"/>
      <c r="E29" s="48"/>
      <c r="F29" s="23"/>
      <c r="G29" s="48"/>
      <c r="H29" s="24"/>
      <c r="I29" s="48"/>
      <c r="J29" s="49"/>
      <c r="K29" s="48"/>
      <c r="L29" s="49"/>
      <c r="M29" s="48"/>
      <c r="N29" s="23"/>
      <c r="O29" s="50"/>
    </row>
    <row r="30" spans="1:15" ht="57" customHeight="1" x14ac:dyDescent="0.45">
      <c r="A30" s="21" t="s">
        <v>18</v>
      </c>
      <c r="B30" s="34"/>
      <c r="C30" s="13"/>
      <c r="D30" s="35"/>
      <c r="E30" s="13"/>
      <c r="F30" s="10"/>
      <c r="G30" s="13"/>
      <c r="H30" s="10"/>
      <c r="I30" s="13"/>
      <c r="J30" s="28"/>
      <c r="K30" s="13"/>
      <c r="L30" s="28"/>
      <c r="M30" s="13"/>
      <c r="N30" s="35"/>
      <c r="O30" s="14"/>
    </row>
    <row r="31" spans="1:15" ht="57" customHeight="1" x14ac:dyDescent="0.45">
      <c r="A31" s="21" t="s">
        <v>19</v>
      </c>
      <c r="B31" s="34"/>
      <c r="C31" s="9"/>
      <c r="D31" s="35"/>
      <c r="E31" s="25"/>
      <c r="F31" s="35"/>
      <c r="G31" s="9"/>
      <c r="H31" s="35"/>
      <c r="I31" s="9"/>
      <c r="J31" s="36"/>
      <c r="K31" s="9"/>
      <c r="L31" s="36"/>
      <c r="M31" s="9"/>
      <c r="N31" s="35"/>
      <c r="O31" s="27"/>
    </row>
    <row r="32" spans="1:15" ht="28.5" x14ac:dyDescent="0.45">
      <c r="A32" s="2" t="s">
        <v>1</v>
      </c>
      <c r="B32" s="3" t="str">
        <f ca="1">TEXT(TODAY()+8,"dddd, m/d "" - AM""")</f>
        <v>Friday, 8/7  - AM</v>
      </c>
      <c r="C32" s="4" t="str">
        <f ca="1">TEXT(TODAY()+8,"dddd, m/d "" - PM""")</f>
        <v>Friday, 8/7  - PM</v>
      </c>
      <c r="D32" s="3" t="str">
        <f ca="1">TEXT(TODAY()+9,"dddd, m/d "" - AM""")</f>
        <v>Saturday, 8/8  - AM</v>
      </c>
      <c r="E32" s="4" t="str">
        <f ca="1">TEXT(TODAY()+9,"dddd, m/d "" - PM""")</f>
        <v>Saturday, 8/8  - PM</v>
      </c>
      <c r="F32" s="3" t="str">
        <f ca="1">TEXT(TODAY()+10,"dddd, m/d "" - AM""")</f>
        <v>Sunday, 8/9  - AM</v>
      </c>
      <c r="G32" s="4" t="str">
        <f ca="1">TEXT(TODAY()+10,"dddd, m/d "" - PM""")</f>
        <v>Sunday, 8/9  - PM</v>
      </c>
      <c r="H32" s="3" t="str">
        <f ca="1">TEXT(TODAY()+11,"dddd, m/d "" - AM""")</f>
        <v>Monday, 8/10  - AM</v>
      </c>
      <c r="I32" s="4" t="str">
        <f ca="1">TEXT(TODAY()+11,"dddd, m/d "" - PM""")</f>
        <v>Monday, 8/10  - PM</v>
      </c>
      <c r="J32" s="3" t="str">
        <f ca="1">TEXT(TODAY()+12,"dddd, m/d "" - AM""")</f>
        <v>Tuesday, 8/11  - AM</v>
      </c>
      <c r="K32" s="4" t="str">
        <f ca="1">TEXT(TODAY()+12,"dddd, m/d "" - PM""")</f>
        <v>Tuesday, 8/11  - PM</v>
      </c>
      <c r="L32" s="3" t="str">
        <f ca="1">TEXT(TODAY()+13,"dddd, m/d "" - AM""")</f>
        <v>Wednesday, 8/12  - AM</v>
      </c>
      <c r="M32" s="4" t="str">
        <f ca="1">TEXT(TODAY()+13,"dddd, m/d "" - PM""")</f>
        <v>Wednesday, 8/12  - PM</v>
      </c>
      <c r="N32" s="3" t="str">
        <f ca="1">TEXT(TODAY()+14,"dddd, m/d "" - AM""")</f>
        <v>Thursday, 8/13  - AM</v>
      </c>
      <c r="O32" s="6" t="str">
        <f ca="1">TEXT(TODAY()+14,"dddd, m/d "" - PM""")</f>
        <v>Thursday, 8/13  - PM</v>
      </c>
    </row>
    <row r="33" spans="1:15" ht="57" customHeight="1" x14ac:dyDescent="0.45">
      <c r="A33" s="7" t="s">
        <v>13</v>
      </c>
      <c r="B33" s="8"/>
      <c r="C33" s="9"/>
      <c r="D33" s="10"/>
      <c r="E33" s="9"/>
      <c r="F33" s="10"/>
      <c r="G33" s="9"/>
      <c r="H33" s="11"/>
      <c r="I33" s="9"/>
      <c r="J33" s="10"/>
      <c r="K33" s="9"/>
      <c r="L33" s="11"/>
      <c r="M33" s="9"/>
      <c r="N33" s="11"/>
      <c r="O33" s="12"/>
    </row>
    <row r="34" spans="1:15" ht="57" customHeight="1" x14ac:dyDescent="0.45">
      <c r="A34" s="7" t="s">
        <v>14</v>
      </c>
      <c r="B34" s="8"/>
      <c r="C34" s="13"/>
      <c r="D34" s="10"/>
      <c r="E34" s="13"/>
      <c r="F34" s="11"/>
      <c r="G34" s="13"/>
      <c r="H34" s="10"/>
      <c r="I34" s="13"/>
      <c r="J34" s="10"/>
      <c r="K34" s="13"/>
      <c r="L34" s="10"/>
      <c r="M34" s="13"/>
      <c r="N34" s="11"/>
      <c r="O34" s="14"/>
    </row>
    <row r="35" spans="1:15" ht="57" customHeight="1" x14ac:dyDescent="0.45">
      <c r="A35" s="7" t="s">
        <v>15</v>
      </c>
      <c r="B35" s="44"/>
      <c r="C35" s="13" t="s">
        <v>5</v>
      </c>
      <c r="D35" s="28"/>
      <c r="E35" s="13" t="s">
        <v>5</v>
      </c>
      <c r="F35" s="28"/>
      <c r="G35" s="13" t="s">
        <v>5</v>
      </c>
      <c r="H35" s="11"/>
      <c r="I35" s="13" t="s">
        <v>5</v>
      </c>
      <c r="J35" s="11"/>
      <c r="K35" s="13" t="s">
        <v>5</v>
      </c>
      <c r="L35" s="11"/>
      <c r="M35" s="13" t="s">
        <v>5</v>
      </c>
      <c r="N35" s="10"/>
      <c r="O35" s="14" t="s">
        <v>5</v>
      </c>
    </row>
    <row r="36" spans="1:15" ht="57" customHeight="1" thickBot="1" x14ac:dyDescent="0.5">
      <c r="A36" s="45" t="s">
        <v>16</v>
      </c>
      <c r="B36" s="15"/>
      <c r="C36" s="16" t="s">
        <v>5</v>
      </c>
      <c r="D36" s="19"/>
      <c r="E36" s="16" t="s">
        <v>5</v>
      </c>
      <c r="F36" s="18"/>
      <c r="G36" s="16" t="s">
        <v>5</v>
      </c>
      <c r="H36" s="19"/>
      <c r="I36" s="16" t="s">
        <v>5</v>
      </c>
      <c r="J36" s="19"/>
      <c r="K36" s="16" t="s">
        <v>5</v>
      </c>
      <c r="L36" s="19"/>
      <c r="M36" s="16" t="s">
        <v>5</v>
      </c>
      <c r="N36" s="18"/>
      <c r="O36" s="16" t="s">
        <v>5</v>
      </c>
    </row>
    <row r="37" spans="1:15" ht="57" customHeight="1" x14ac:dyDescent="0.45">
      <c r="A37" s="46" t="s">
        <v>17</v>
      </c>
      <c r="B37" s="47"/>
      <c r="C37" s="48"/>
      <c r="D37" s="23"/>
      <c r="E37" s="48"/>
      <c r="F37" s="23"/>
      <c r="G37" s="48"/>
      <c r="H37" s="24"/>
      <c r="I37" s="48"/>
      <c r="J37" s="49"/>
      <c r="K37" s="48"/>
      <c r="L37" s="49"/>
      <c r="M37" s="48"/>
      <c r="N37" s="23"/>
      <c r="O37" s="50"/>
    </row>
    <row r="38" spans="1:15" ht="57" customHeight="1" x14ac:dyDescent="0.45">
      <c r="A38" s="21" t="s">
        <v>18</v>
      </c>
      <c r="B38" s="34"/>
      <c r="C38" s="13"/>
      <c r="D38" s="35"/>
      <c r="E38" s="13"/>
      <c r="F38" s="10"/>
      <c r="G38" s="13"/>
      <c r="H38" s="10"/>
      <c r="I38" s="13"/>
      <c r="J38" s="28"/>
      <c r="K38" s="13"/>
      <c r="L38" s="28"/>
      <c r="M38" s="13"/>
      <c r="N38" s="35"/>
      <c r="O38" s="14"/>
    </row>
    <row r="39" spans="1:15" ht="57" customHeight="1" x14ac:dyDescent="0.45">
      <c r="A39" s="21" t="s">
        <v>19</v>
      </c>
      <c r="B39" s="8"/>
      <c r="C39" s="51"/>
      <c r="D39" s="10"/>
      <c r="E39" s="52"/>
      <c r="F39" s="10"/>
      <c r="G39" s="51"/>
      <c r="H39" s="10"/>
      <c r="I39" s="51"/>
      <c r="J39" s="28"/>
      <c r="K39" s="51"/>
      <c r="L39" s="28"/>
      <c r="M39" s="51"/>
      <c r="N39" s="10"/>
      <c r="O39" s="53"/>
    </row>
  </sheetData>
  <mergeCells count="2">
    <mergeCell ref="B1:O1"/>
    <mergeCell ref="B23:O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Logan Featherstone</dc:creator>
  <cp:keywords/>
  <dc:description/>
  <cp:lastModifiedBy>Logan Featherstone</cp:lastModifiedBy>
  <cp:revision/>
  <dcterms:created xsi:type="dcterms:W3CDTF">2026-05-12T16:08:47Z</dcterms:created>
  <dcterms:modified xsi:type="dcterms:W3CDTF">2026-07-31T03:28:42Z</dcterms:modified>
  <cp:category/>
  <cp:contentStatus/>
</cp:coreProperties>
</file>